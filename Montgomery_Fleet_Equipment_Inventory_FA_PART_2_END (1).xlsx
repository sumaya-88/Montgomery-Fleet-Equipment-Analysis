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Montgomery_Fleet_Equipment_Inve" sheetId="1" state="visible" r:id="rId1"/>
    <sheet xmlns:r="http://schemas.openxmlformats.org/officeDocument/2006/relationships" name="Pivot Table 1" sheetId="2" state="visible" r:id="rId2"/>
    <sheet xmlns:r="http://schemas.openxmlformats.org/officeDocument/2006/relationships" name="Pivot Table 2" sheetId="3" state="visible" r:id="rId3"/>
    <sheet xmlns:r="http://schemas.openxmlformats.org/officeDocument/2006/relationships" name="Pivot Table 3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8"/>
      </patternFill>
    </fill>
    <fill>
      <patternFill patternType="solid">
        <fgColor rgb="00D6E4F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7">
    <xf numFmtId="0" fontId="0" fillId="0" borderId="0" pivotButton="0" quotePrefix="0" xfId="0"/>
    <xf numFmtId="0" fontId="18" fillId="33" borderId="10" applyAlignment="1" pivotButton="0" quotePrefix="0" xfId="0">
      <alignment horizontal="center" vertical="center"/>
    </xf>
    <xf numFmtId="0" fontId="19" fillId="34" borderId="10" applyAlignment="1" pivotButton="0" quotePrefix="0" xfId="0">
      <alignment horizontal="left" vertical="center"/>
    </xf>
    <xf numFmtId="0" fontId="19" fillId="34" borderId="10" applyAlignment="1" pivotButton="0" quotePrefix="0" xfId="0">
      <alignment horizontal="center" vertical="center"/>
    </xf>
    <xf numFmtId="0" fontId="19" fillId="35" borderId="10" applyAlignment="1" pivotButton="0" quotePrefix="0" xfId="0">
      <alignment horizontal="left" vertical="center"/>
    </xf>
    <xf numFmtId="0" fontId="19" fillId="35" borderId="10" applyAlignment="1" pivotButton="0" quotePrefix="0" xfId="0">
      <alignment horizontal="center" vertical="center"/>
    </xf>
    <xf numFmtId="0" fontId="20" fillId="36" borderId="10" applyAlignment="1" pivotButton="0" quotePrefix="0" xfId="0">
      <alignment horizontal="right"/>
    </xf>
    <xf numFmtId="0" fontId="20" fillId="36" borderId="10" applyAlignment="1" pivotButton="0" quotePrefix="0" xfId="0">
      <alignment horizontal="center"/>
    </xf>
    <xf numFmtId="0" fontId="21" fillId="0" borderId="0" pivotButton="0" quotePrefix="0" xfId="0"/>
    <xf numFmtId="0" fontId="20" fillId="36" borderId="10" applyAlignment="1" pivotButton="0" quotePrefix="0" xfId="0">
      <alignment horizontal="left"/>
    </xf>
    <xf numFmtId="0" fontId="0" fillId="36" borderId="10" pivotButton="0" quotePrefix="0" xfId="0"/>
    <xf numFmtId="0" fontId="0" fillId="35" borderId="10" pivotButton="0" quotePrefix="0" xfId="0"/>
    <xf numFmtId="0" fontId="20" fillId="35" borderId="10" applyAlignment="1" pivotButton="0" quotePrefix="0" xfId="0">
      <alignment horizontal="left"/>
    </xf>
    <xf numFmtId="0" fontId="19" fillId="35" borderId="10" applyAlignment="1" pivotButton="0" quotePrefix="0" xfId="0">
      <alignment horizontal="center"/>
    </xf>
    <xf numFmtId="0" fontId="20" fillId="34" borderId="10" applyAlignment="1" pivotButton="0" quotePrefix="0" xfId="0">
      <alignment horizontal="left"/>
    </xf>
    <xf numFmtId="0" fontId="0" fillId="34" borderId="10" pivotButton="0" quotePrefix="0" xfId="0"/>
    <xf numFmtId="0" fontId="19" fillId="34" borderId="1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tabSelected="1" workbookViewId="0">
      <selection activeCell="A1" sqref="A1"/>
    </sheetView>
  </sheetViews>
  <sheetFormatPr baseColWidth="8" defaultRowHeight="15"/>
  <cols>
    <col width="35" bestFit="1" customWidth="1" min="1" max="1"/>
    <col width="30" bestFit="1" customWidth="1" min="2" max="2"/>
    <col width="18" bestFit="1" customWidth="1" min="3" max="3"/>
  </cols>
  <sheetData>
    <row r="1">
      <c r="A1" s="1" t="inlineStr">
        <is>
          <t>Department</t>
        </is>
      </c>
      <c r="B1" s="1" t="inlineStr">
        <is>
          <t>Equipment Class</t>
        </is>
      </c>
      <c r="C1" s="1" t="inlineStr">
        <is>
          <t>Equipment Count</t>
        </is>
      </c>
    </row>
    <row r="2">
      <c r="A2" s="2" t="inlineStr">
        <is>
          <t>Housing and Community Affairs</t>
        </is>
      </c>
      <c r="B2" s="2" t="inlineStr">
        <is>
          <t>Pick Up Trucks</t>
        </is>
      </c>
      <c r="C2" s="3" t="n">
        <v>21</v>
      </c>
    </row>
    <row r="3">
      <c r="A3" s="4" t="inlineStr">
        <is>
          <t>Housing and Community Affairs</t>
        </is>
      </c>
      <c r="B3" s="4" t="inlineStr">
        <is>
          <t>SUV</t>
        </is>
      </c>
      <c r="C3" s="5" t="n">
        <v>1</v>
      </c>
    </row>
    <row r="4">
      <c r="A4" s="2" t="inlineStr">
        <is>
          <t>Housing and Community Affairs</t>
        </is>
      </c>
      <c r="B4" s="2" t="inlineStr">
        <is>
          <t>Sedan</t>
        </is>
      </c>
      <c r="C4" s="3" t="n">
        <v>23</v>
      </c>
    </row>
    <row r="5">
      <c r="A5" s="4" t="inlineStr">
        <is>
          <t>Human Rights</t>
        </is>
      </c>
      <c r="B5" s="4" t="inlineStr">
        <is>
          <t>Sedan</t>
        </is>
      </c>
      <c r="C5" s="5" t="n">
        <v>2</v>
      </c>
    </row>
    <row r="6">
      <c r="A6" s="2" t="inlineStr">
        <is>
          <t>Libraries</t>
        </is>
      </c>
      <c r="B6" s="2" t="inlineStr">
        <is>
          <t>Pick Up Trucks</t>
        </is>
      </c>
      <c r="C6" s="3" t="n">
        <v>3</v>
      </c>
    </row>
    <row r="7">
      <c r="A7" s="4" t="inlineStr">
        <is>
          <t>Libraries</t>
        </is>
      </c>
      <c r="B7" s="4" t="inlineStr">
        <is>
          <t>Van</t>
        </is>
      </c>
      <c r="C7" s="5" t="n">
        <v>2</v>
      </c>
    </row>
    <row r="8">
      <c r="A8" s="2" t="inlineStr">
        <is>
          <t>Libraries</t>
        </is>
      </c>
      <c r="B8" s="2" t="inlineStr">
        <is>
          <t>Medium Duty</t>
        </is>
      </c>
      <c r="C8" s="3" t="n">
        <v>1</v>
      </c>
    </row>
    <row r="9">
      <c r="A9" s="4" t="inlineStr">
        <is>
          <t>Liquor Control</t>
        </is>
      </c>
      <c r="B9" s="4" t="inlineStr">
        <is>
          <t>Van</t>
        </is>
      </c>
      <c r="C9" s="5" t="n">
        <v>2</v>
      </c>
    </row>
    <row r="10">
      <c r="A10" s="2" t="inlineStr">
        <is>
          <t>Liquor Control</t>
        </is>
      </c>
      <c r="B10" s="2" t="inlineStr">
        <is>
          <t>Heavy Duty</t>
        </is>
      </c>
      <c r="C10" s="3" t="n">
        <v>42</v>
      </c>
    </row>
    <row r="11">
      <c r="A11" s="4" t="inlineStr">
        <is>
          <t>Liquor Control</t>
        </is>
      </c>
      <c r="B11" s="4" t="inlineStr">
        <is>
          <t>SUV</t>
        </is>
      </c>
      <c r="C11" s="5" t="n">
        <v>1</v>
      </c>
    </row>
    <row r="12">
      <c r="A12" s="2" t="inlineStr">
        <is>
          <t>Liquor Control</t>
        </is>
      </c>
      <c r="B12" s="2" t="inlineStr">
        <is>
          <t>Sedan</t>
        </is>
      </c>
      <c r="C12" s="3" t="n">
        <v>11</v>
      </c>
    </row>
    <row r="13">
      <c r="A13" s="4" t="inlineStr">
        <is>
          <t>Office Of Homeland Security</t>
        </is>
      </c>
      <c r="B13" s="4" t="inlineStr">
        <is>
          <t>SUV</t>
        </is>
      </c>
      <c r="C13" s="5" t="n">
        <v>1</v>
      </c>
    </row>
    <row r="14">
      <c r="A14" s="2" t="inlineStr">
        <is>
          <t>Permitting Services</t>
        </is>
      </c>
      <c r="B14" s="2" t="inlineStr">
        <is>
          <t>CUV</t>
        </is>
      </c>
      <c r="C14" s="3" t="n">
        <v>9</v>
      </c>
    </row>
    <row r="15">
      <c r="A15" s="4" t="inlineStr">
        <is>
          <t>Permitting Services</t>
        </is>
      </c>
      <c r="B15" s="4" t="inlineStr">
        <is>
          <t>SUV</t>
        </is>
      </c>
      <c r="C15" s="5" t="n">
        <v>27</v>
      </c>
    </row>
    <row r="16">
      <c r="A16" s="2" t="inlineStr">
        <is>
          <t>Permitting Services</t>
        </is>
      </c>
      <c r="B16" s="2" t="inlineStr">
        <is>
          <t>Pick Up Trucks</t>
        </is>
      </c>
      <c r="C16" s="3" t="n">
        <v>24</v>
      </c>
    </row>
    <row r="17">
      <c r="A17" s="4" t="inlineStr">
        <is>
          <t>Permitting Services</t>
        </is>
      </c>
      <c r="B17" s="4" t="inlineStr">
        <is>
          <t>Van</t>
        </is>
      </c>
      <c r="C17" s="5" t="n">
        <v>1</v>
      </c>
    </row>
    <row r="18">
      <c r="A18" s="2" t="inlineStr">
        <is>
          <t>Permitting Services</t>
        </is>
      </c>
      <c r="B18" s="2" t="inlineStr">
        <is>
          <t>Sedan</t>
        </is>
      </c>
      <c r="C18" s="3" t="n">
        <v>48</v>
      </c>
    </row>
    <row r="19">
      <c r="A19" s="4" t="inlineStr">
        <is>
          <t>Public Information Office</t>
        </is>
      </c>
      <c r="B19" s="4" t="inlineStr">
        <is>
          <t>Van</t>
        </is>
      </c>
      <c r="C19" s="5" t="n">
        <v>1</v>
      </c>
    </row>
    <row r="20">
      <c r="A20" s="2" t="inlineStr">
        <is>
          <t>Recreation</t>
        </is>
      </c>
      <c r="B20" s="2" t="inlineStr">
        <is>
          <t>Sedan</t>
        </is>
      </c>
      <c r="C20" s="3" t="n">
        <v>6</v>
      </c>
    </row>
    <row r="21">
      <c r="A21" s="4" t="inlineStr">
        <is>
          <t>Recreation</t>
        </is>
      </c>
      <c r="B21" s="4" t="inlineStr">
        <is>
          <t>Pick Up Trucks</t>
        </is>
      </c>
      <c r="C21" s="5" t="n">
        <v>5</v>
      </c>
    </row>
    <row r="22">
      <c r="A22" s="2" t="inlineStr">
        <is>
          <t>Recreation</t>
        </is>
      </c>
      <c r="B22" s="2" t="inlineStr">
        <is>
          <t>SUV</t>
        </is>
      </c>
      <c r="C22" s="3" t="n">
        <v>2</v>
      </c>
    </row>
    <row r="23">
      <c r="A23" s="4" t="inlineStr">
        <is>
          <t>Recreation</t>
        </is>
      </c>
      <c r="B23" s="4" t="inlineStr">
        <is>
          <t>Van</t>
        </is>
      </c>
      <c r="C23" s="5" t="n">
        <v>15</v>
      </c>
    </row>
    <row r="24">
      <c r="A24" s="2" t="inlineStr">
        <is>
          <t>Recreation</t>
        </is>
      </c>
      <c r="B24" s="2" t="inlineStr">
        <is>
          <t>Off Road Vehicle Equipment</t>
        </is>
      </c>
      <c r="C24" s="3" t="n">
        <v>7</v>
      </c>
    </row>
    <row r="25">
      <c r="A25" s="4" t="inlineStr">
        <is>
          <t>Sheriffs Office</t>
        </is>
      </c>
      <c r="B25" s="4" t="inlineStr">
        <is>
          <t>Public Safety SUV</t>
        </is>
      </c>
      <c r="C25" s="5" t="n">
        <v>20</v>
      </c>
    </row>
    <row r="26">
      <c r="A26" s="2" t="inlineStr">
        <is>
          <t>Sheriffs Office</t>
        </is>
      </c>
      <c r="B26" s="2" t="inlineStr">
        <is>
          <t>Sedan</t>
        </is>
      </c>
      <c r="C26" s="3" t="n">
        <v>1</v>
      </c>
    </row>
    <row r="27">
      <c r="A27" s="4" t="inlineStr">
        <is>
          <t>Sheriffs Office</t>
        </is>
      </c>
      <c r="B27" s="4" t="inlineStr">
        <is>
          <t>Medium Duty</t>
        </is>
      </c>
      <c r="C27" s="5" t="n">
        <v>1</v>
      </c>
    </row>
    <row r="28">
      <c r="A28" s="2" t="inlineStr">
        <is>
          <t>Sheriffs Office</t>
        </is>
      </c>
      <c r="B28" s="2" t="inlineStr">
        <is>
          <t>Pick Up Trucks</t>
        </is>
      </c>
      <c r="C28" s="3" t="n">
        <v>3</v>
      </c>
    </row>
    <row r="29">
      <c r="A29" s="4" t="inlineStr">
        <is>
          <t>Sheriffs Office</t>
        </is>
      </c>
      <c r="B29" s="4" t="inlineStr">
        <is>
          <t>SUV</t>
        </is>
      </c>
      <c r="C29" s="5" t="n">
        <v>1</v>
      </c>
    </row>
    <row r="30">
      <c r="A30" s="2" t="inlineStr">
        <is>
          <t>Sheriffs Office</t>
        </is>
      </c>
      <c r="B30" s="2" t="inlineStr">
        <is>
          <t>Public Safety Van</t>
        </is>
      </c>
      <c r="C30" s="3" t="n">
        <v>8</v>
      </c>
    </row>
    <row r="31">
      <c r="A31" s="4" t="inlineStr">
        <is>
          <t>Sheriffs Office</t>
        </is>
      </c>
      <c r="B31" s="4" t="inlineStr">
        <is>
          <t>Public Safety CUV</t>
        </is>
      </c>
      <c r="C31" s="5" t="n">
        <v>4</v>
      </c>
    </row>
    <row r="32">
      <c r="A32" s="2" t="inlineStr">
        <is>
          <t>Sheriffs Office</t>
        </is>
      </c>
      <c r="B32" s="2" t="inlineStr">
        <is>
          <t>Public Safety Sedan</t>
        </is>
      </c>
      <c r="C32" s="3" t="n">
        <v>46</v>
      </c>
    </row>
    <row r="33">
      <c r="A33" s="4" t="inlineStr">
        <is>
          <t>Sheriffs Office</t>
        </is>
      </c>
      <c r="B33" s="4" t="inlineStr">
        <is>
          <t>Public Safety Pick Up Trucks</t>
        </is>
      </c>
      <c r="C33" s="5" t="n">
        <v>1</v>
      </c>
    </row>
    <row r="34">
      <c r="A34" s="2" t="inlineStr">
        <is>
          <t>State Attorneys Office</t>
        </is>
      </c>
      <c r="B34" s="2" t="inlineStr">
        <is>
          <t>Public Safety Sedan</t>
        </is>
      </c>
      <c r="C34" s="3" t="n">
        <v>1</v>
      </c>
    </row>
    <row r="35">
      <c r="A35" s="4" t="inlineStr">
        <is>
          <t>State Attorneys Office</t>
        </is>
      </c>
      <c r="B35" s="4" t="inlineStr">
        <is>
          <t>Van</t>
        </is>
      </c>
      <c r="C35" s="5" t="n">
        <v>1</v>
      </c>
    </row>
    <row r="36">
      <c r="A36" s="2" t="inlineStr">
        <is>
          <t>State Attorneys Office</t>
        </is>
      </c>
      <c r="B36" s="2" t="inlineStr">
        <is>
          <t>SUV</t>
        </is>
      </c>
      <c r="C36" s="3" t="n">
        <v>1</v>
      </c>
    </row>
    <row r="37">
      <c r="A37" s="4" t="inlineStr">
        <is>
          <t>State Attorneys Office</t>
        </is>
      </c>
      <c r="B37" s="4" t="inlineStr">
        <is>
          <t>Sedan</t>
        </is>
      </c>
      <c r="C37" s="5" t="n">
        <v>2</v>
      </c>
    </row>
    <row r="38">
      <c r="A38" s="2" t="inlineStr">
        <is>
          <t>Technology Services</t>
        </is>
      </c>
      <c r="B38" s="2" t="inlineStr">
        <is>
          <t>Pick Up Trucks</t>
        </is>
      </c>
      <c r="C38" s="3" t="n">
        <v>1</v>
      </c>
    </row>
    <row r="39">
      <c r="A39" s="4" t="inlineStr">
        <is>
          <t>Technology Services</t>
        </is>
      </c>
      <c r="B39" s="4" t="inlineStr">
        <is>
          <t>CUV</t>
        </is>
      </c>
      <c r="C39" s="5" t="n">
        <v>1</v>
      </c>
    </row>
    <row r="40">
      <c r="A40" s="2" t="inlineStr">
        <is>
          <t>Technology Services</t>
        </is>
      </c>
      <c r="B40" s="2" t="inlineStr">
        <is>
          <t>Van</t>
        </is>
      </c>
      <c r="C40" s="3" t="n">
        <v>11</v>
      </c>
    </row>
    <row r="41">
      <c r="A41" s="4" t="inlineStr">
        <is>
          <t>Technology Services</t>
        </is>
      </c>
      <c r="B41" s="4" t="inlineStr">
        <is>
          <t>SUV</t>
        </is>
      </c>
      <c r="C41" s="5" t="n">
        <v>3</v>
      </c>
    </row>
    <row r="42">
      <c r="A42" s="2" t="inlineStr">
        <is>
          <t>Transportation</t>
        </is>
      </c>
      <c r="B42" s="2" t="inlineStr">
        <is>
          <t>Pick Up Trucks</t>
        </is>
      </c>
      <c r="C42" s="3" t="n">
        <v>93</v>
      </c>
    </row>
    <row r="43">
      <c r="A43" s="4" t="inlineStr">
        <is>
          <t>Transportation</t>
        </is>
      </c>
      <c r="B43" s="4" t="inlineStr">
        <is>
          <t>Heavy Duty</t>
        </is>
      </c>
      <c r="C43" s="5" t="n">
        <v>248</v>
      </c>
    </row>
    <row r="44">
      <c r="A44" s="2" t="inlineStr">
        <is>
          <t>Transportation</t>
        </is>
      </c>
      <c r="B44" s="2" t="inlineStr">
        <is>
          <t>Transit Bus</t>
        </is>
      </c>
      <c r="C44" s="3" t="n">
        <v>379</v>
      </c>
    </row>
    <row r="45">
      <c r="A45" s="4" t="inlineStr">
        <is>
          <t>Transportation</t>
        </is>
      </c>
      <c r="B45" s="4" t="inlineStr">
        <is>
          <t>SUV</t>
        </is>
      </c>
      <c r="C45" s="5" t="n">
        <v>53</v>
      </c>
    </row>
    <row r="46">
      <c r="A46" s="2" t="inlineStr">
        <is>
          <t>Transportation</t>
        </is>
      </c>
      <c r="B46" s="2" t="inlineStr">
        <is>
          <t>Van</t>
        </is>
      </c>
      <c r="C46" s="3" t="n">
        <v>32</v>
      </c>
    </row>
    <row r="47">
      <c r="A47" s="4" t="inlineStr">
        <is>
          <t>Transportation</t>
        </is>
      </c>
      <c r="B47" s="4" t="inlineStr">
        <is>
          <t>Medium Duty</t>
        </is>
      </c>
      <c r="C47" s="5" t="n">
        <v>98</v>
      </c>
    </row>
    <row r="48">
      <c r="A48" s="2" t="inlineStr">
        <is>
          <t>Transportation</t>
        </is>
      </c>
      <c r="B48" s="2" t="inlineStr">
        <is>
          <t>Off Road Vehicle Equipment</t>
        </is>
      </c>
      <c r="C48" s="3" t="n">
        <v>276</v>
      </c>
    </row>
    <row r="49">
      <c r="A49" s="4" t="inlineStr">
        <is>
          <t>Transportation</t>
        </is>
      </c>
      <c r="B49" s="4" t="inlineStr">
        <is>
          <t>CUV</t>
        </is>
      </c>
      <c r="C49" s="5" t="n">
        <v>5</v>
      </c>
    </row>
    <row r="50">
      <c r="A50" s="2" t="inlineStr">
        <is>
          <t>Transportation</t>
        </is>
      </c>
      <c r="B50" s="2" t="inlineStr">
        <is>
          <t>Sedan</t>
        </is>
      </c>
      <c r="C50" s="3" t="n">
        <v>37</v>
      </c>
    </row>
    <row r="52">
      <c r="B52" s="6" t="inlineStr">
        <is>
          <t>SUM</t>
        </is>
      </c>
      <c r="C52" s="7">
        <f>SUM(C2:C50)</f>
        <v/>
      </c>
    </row>
    <row r="53">
      <c r="B53" s="6" t="inlineStr">
        <is>
          <t>AVERAGE</t>
        </is>
      </c>
      <c r="C53" s="7">
        <f>AVERAGE(C2:C50)</f>
        <v/>
      </c>
    </row>
    <row r="54">
      <c r="B54" s="6" t="inlineStr">
        <is>
          <t>MIN</t>
        </is>
      </c>
      <c r="C54" s="7">
        <f>MIN(C2:C50)</f>
        <v/>
      </c>
    </row>
    <row r="55">
      <c r="B55" s="6" t="inlineStr">
        <is>
          <t>MAX</t>
        </is>
      </c>
      <c r="C55" s="7">
        <f>MAX(C2:C50)</f>
        <v/>
      </c>
    </row>
    <row r="56">
      <c r="B56" s="6" t="inlineStr">
        <is>
          <t>COUNT</t>
        </is>
      </c>
      <c r="C56" s="7">
        <f>COUNT(C2:C50)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 ht="24" customHeight="1">
      <c r="A1" s="8" t="inlineStr">
        <is>
          <t>Pivot Table 1 — Sum of Equipment Count by Department (Descending)</t>
        </is>
      </c>
    </row>
    <row r="2">
      <c r="A2" s="1" t="inlineStr">
        <is>
          <t>Department</t>
        </is>
      </c>
      <c r="B2" s="1" t="inlineStr">
        <is>
          <t>Sum of Equipment Count</t>
        </is>
      </c>
    </row>
    <row r="3">
      <c r="A3" s="4" t="inlineStr">
        <is>
          <t>Transportation</t>
        </is>
      </c>
      <c r="B3" s="5" t="n">
        <v>1221</v>
      </c>
    </row>
    <row r="4">
      <c r="A4" s="2" t="inlineStr">
        <is>
          <t>Permitting Services</t>
        </is>
      </c>
      <c r="B4" s="3" t="n">
        <v>109</v>
      </c>
    </row>
    <row r="5">
      <c r="A5" s="4" t="inlineStr">
        <is>
          <t>Sheriffs Office</t>
        </is>
      </c>
      <c r="B5" s="5" t="n">
        <v>85</v>
      </c>
    </row>
    <row r="6">
      <c r="A6" s="2" t="inlineStr">
        <is>
          <t>Liquor Control</t>
        </is>
      </c>
      <c r="B6" s="3" t="n">
        <v>56</v>
      </c>
    </row>
    <row r="7">
      <c r="A7" s="4" t="inlineStr">
        <is>
          <t>Housing and Community Affairs</t>
        </is>
      </c>
      <c r="B7" s="5" t="n">
        <v>45</v>
      </c>
    </row>
    <row r="8">
      <c r="A8" s="2" t="inlineStr">
        <is>
          <t>Recreation</t>
        </is>
      </c>
      <c r="B8" s="3" t="n">
        <v>35</v>
      </c>
    </row>
    <row r="9">
      <c r="A9" s="4" t="inlineStr">
        <is>
          <t>Technology Services</t>
        </is>
      </c>
      <c r="B9" s="5" t="n">
        <v>16</v>
      </c>
    </row>
    <row r="10">
      <c r="A10" s="2" t="inlineStr">
        <is>
          <t>Libraries</t>
        </is>
      </c>
      <c r="B10" s="3" t="n">
        <v>6</v>
      </c>
    </row>
    <row r="11">
      <c r="A11" s="4" t="inlineStr">
        <is>
          <t>State Attorneys Office</t>
        </is>
      </c>
      <c r="B11" s="5" t="n">
        <v>5</v>
      </c>
    </row>
    <row r="12">
      <c r="A12" s="2" t="inlineStr">
        <is>
          <t>Human Rights</t>
        </is>
      </c>
      <c r="B12" s="3" t="n">
        <v>2</v>
      </c>
    </row>
    <row r="13">
      <c r="A13" s="4" t="inlineStr">
        <is>
          <t>Public Information Office</t>
        </is>
      </c>
      <c r="B13" s="5" t="n">
        <v>1</v>
      </c>
    </row>
    <row r="14">
      <c r="A14" s="2" t="inlineStr">
        <is>
          <t>Office Of Homeland Security</t>
        </is>
      </c>
      <c r="B14" s="3" t="n">
        <v>1</v>
      </c>
    </row>
    <row r="15">
      <c r="A15" s="9" t="inlineStr">
        <is>
          <t>Grand Total</t>
        </is>
      </c>
      <c r="B15" s="7" t="n">
        <v>1582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5" customWidth="1" min="3" max="3"/>
  </cols>
  <sheetData>
    <row r="1" ht="24" customHeight="1">
      <c r="A1" s="8" t="inlineStr">
        <is>
          <t>Pivot Table 2 — Equipment Count by Department &amp; Equipment Class</t>
        </is>
      </c>
    </row>
    <row r="2">
      <c r="A2" s="1" t="inlineStr">
        <is>
          <t>Department</t>
        </is>
      </c>
      <c r="B2" s="1" t="inlineStr">
        <is>
          <t>Equipment Class</t>
        </is>
      </c>
      <c r="C2" s="1" t="inlineStr">
        <is>
          <t>Sum of Equipment Count</t>
        </is>
      </c>
    </row>
    <row r="3">
      <c r="A3" s="9" t="inlineStr">
        <is>
          <t>▼ Transportation</t>
        </is>
      </c>
      <c r="B3" s="10" t="inlineStr"/>
      <c r="C3" s="7" t="n">
        <v>1221</v>
      </c>
    </row>
    <row r="4">
      <c r="A4" s="11" t="inlineStr"/>
      <c r="B4" s="2" t="inlineStr">
        <is>
          <t>Transit Bus</t>
        </is>
      </c>
      <c r="C4" s="3" t="n">
        <v>379</v>
      </c>
    </row>
    <row r="5">
      <c r="A5" s="11" t="inlineStr"/>
      <c r="B5" s="4" t="inlineStr">
        <is>
          <t>Off Road Vehicle Equipment</t>
        </is>
      </c>
      <c r="C5" s="5" t="n">
        <v>276</v>
      </c>
    </row>
    <row r="6">
      <c r="A6" s="11" t="inlineStr"/>
      <c r="B6" s="2" t="inlineStr">
        <is>
          <t>Heavy Duty</t>
        </is>
      </c>
      <c r="C6" s="3" t="n">
        <v>248</v>
      </c>
    </row>
    <row r="7">
      <c r="A7" s="11" t="inlineStr"/>
      <c r="B7" s="4" t="inlineStr">
        <is>
          <t>Medium Duty</t>
        </is>
      </c>
      <c r="C7" s="5" t="n">
        <v>98</v>
      </c>
    </row>
    <row r="8">
      <c r="A8" s="11" t="inlineStr"/>
      <c r="B8" s="2" t="inlineStr">
        <is>
          <t>Pick Up Trucks</t>
        </is>
      </c>
      <c r="C8" s="3" t="n">
        <v>93</v>
      </c>
    </row>
    <row r="9">
      <c r="A9" s="11" t="inlineStr"/>
      <c r="B9" s="4" t="inlineStr">
        <is>
          <t>SUV</t>
        </is>
      </c>
      <c r="C9" s="5" t="n">
        <v>53</v>
      </c>
    </row>
    <row r="10">
      <c r="A10" s="11" t="inlineStr"/>
      <c r="B10" s="2" t="inlineStr">
        <is>
          <t>Sedan</t>
        </is>
      </c>
      <c r="C10" s="3" t="n">
        <v>37</v>
      </c>
    </row>
    <row r="11">
      <c r="A11" s="11" t="inlineStr"/>
      <c r="B11" s="4" t="inlineStr">
        <is>
          <t>Van</t>
        </is>
      </c>
      <c r="C11" s="5" t="n">
        <v>32</v>
      </c>
    </row>
    <row r="12">
      <c r="A12" s="11" t="inlineStr"/>
      <c r="B12" s="2" t="inlineStr">
        <is>
          <t>CUV</t>
        </is>
      </c>
      <c r="C12" s="3" t="n">
        <v>5</v>
      </c>
    </row>
    <row r="13">
      <c r="A13" s="12" t="inlineStr">
        <is>
          <t>▶ Permitting Services</t>
        </is>
      </c>
      <c r="B13" s="11" t="inlineStr"/>
      <c r="C13" s="13" t="n">
        <v>109</v>
      </c>
    </row>
    <row r="14">
      <c r="A14" s="14" t="inlineStr">
        <is>
          <t>▶ Sheriffs Office</t>
        </is>
      </c>
      <c r="B14" s="15" t="inlineStr"/>
      <c r="C14" s="16" t="n">
        <v>85</v>
      </c>
    </row>
    <row r="15">
      <c r="A15" s="12" t="inlineStr">
        <is>
          <t>▶ Liquor Control</t>
        </is>
      </c>
      <c r="B15" s="11" t="inlineStr"/>
      <c r="C15" s="13" t="n">
        <v>56</v>
      </c>
    </row>
    <row r="16">
      <c r="A16" s="14" t="inlineStr">
        <is>
          <t>▶ Housing and Community Affairs</t>
        </is>
      </c>
      <c r="B16" s="15" t="inlineStr"/>
      <c r="C16" s="16" t="n">
        <v>45</v>
      </c>
    </row>
    <row r="17">
      <c r="A17" s="12" t="inlineStr">
        <is>
          <t>▶ Recreation</t>
        </is>
      </c>
      <c r="B17" s="11" t="inlineStr"/>
      <c r="C17" s="13" t="n">
        <v>35</v>
      </c>
    </row>
    <row r="18">
      <c r="A18" s="14" t="inlineStr">
        <is>
          <t>▶ Technology Services</t>
        </is>
      </c>
      <c r="B18" s="15" t="inlineStr"/>
      <c r="C18" s="16" t="n">
        <v>16</v>
      </c>
    </row>
    <row r="19">
      <c r="A19" s="12" t="inlineStr">
        <is>
          <t>▶ Libraries</t>
        </is>
      </c>
      <c r="B19" s="11" t="inlineStr"/>
      <c r="C19" s="13" t="n">
        <v>6</v>
      </c>
    </row>
    <row r="20">
      <c r="A20" s="14" t="inlineStr">
        <is>
          <t>▶ State Attorneys Office</t>
        </is>
      </c>
      <c r="B20" s="15" t="inlineStr"/>
      <c r="C20" s="16" t="n">
        <v>5</v>
      </c>
    </row>
    <row r="21">
      <c r="A21" s="12" t="inlineStr">
        <is>
          <t>▶ Human Rights</t>
        </is>
      </c>
      <c r="B21" s="11" t="inlineStr"/>
      <c r="C21" s="13" t="n">
        <v>2</v>
      </c>
    </row>
    <row r="22">
      <c r="A22" s="14" t="inlineStr">
        <is>
          <t>▶ Public Information Office</t>
        </is>
      </c>
      <c r="B22" s="15" t="inlineStr"/>
      <c r="C22" s="16" t="n">
        <v>1</v>
      </c>
    </row>
    <row r="23">
      <c r="A23" s="12" t="inlineStr">
        <is>
          <t>▶ Office Of Homeland Security</t>
        </is>
      </c>
      <c r="B23" s="11" t="inlineStr"/>
      <c r="C23" s="13" t="n">
        <v>1</v>
      </c>
    </row>
    <row r="24">
      <c r="A24" s="9" t="inlineStr">
        <is>
          <t>Grand Total</t>
        </is>
      </c>
      <c r="B24" s="10" t="inlineStr"/>
      <c r="C24" s="7" t="n">
        <v>1582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25" customWidth="1" min="3" max="3"/>
  </cols>
  <sheetData>
    <row r="1" ht="24" customHeight="1">
      <c r="A1" s="8" t="inlineStr">
        <is>
          <t>Pivot Table 3 — Equipment Count by Equipment Class &amp; Department</t>
        </is>
      </c>
    </row>
    <row r="2">
      <c r="A2" s="1" t="inlineStr">
        <is>
          <t>Equipment Class</t>
        </is>
      </c>
      <c r="B2" s="1" t="inlineStr">
        <is>
          <t>Department</t>
        </is>
      </c>
      <c r="C2" s="1" t="inlineStr">
        <is>
          <t>Sum of Equipment Count</t>
        </is>
      </c>
    </row>
    <row r="3">
      <c r="A3" s="12" t="inlineStr">
        <is>
          <t>▶ Transit Bus</t>
        </is>
      </c>
      <c r="B3" s="11" t="inlineStr"/>
      <c r="C3" s="13" t="n">
        <v>379</v>
      </c>
    </row>
    <row r="4">
      <c r="A4" s="14" t="inlineStr">
        <is>
          <t>▶ Heavy Duty</t>
        </is>
      </c>
      <c r="B4" s="15" t="inlineStr"/>
      <c r="C4" s="16" t="n">
        <v>290</v>
      </c>
    </row>
    <row r="5">
      <c r="A5" s="12" t="inlineStr">
        <is>
          <t>▶ Off Road Vehicle Equipment</t>
        </is>
      </c>
      <c r="B5" s="11" t="inlineStr"/>
      <c r="C5" s="13" t="n">
        <v>283</v>
      </c>
    </row>
    <row r="6">
      <c r="A6" s="14" t="inlineStr">
        <is>
          <t>▶ Pick Up Trucks</t>
        </is>
      </c>
      <c r="B6" s="15" t="inlineStr"/>
      <c r="C6" s="16" t="n">
        <v>150</v>
      </c>
    </row>
    <row r="7">
      <c r="A7" s="12" t="inlineStr">
        <is>
          <t>▶ Sedan</t>
        </is>
      </c>
      <c r="B7" s="11" t="inlineStr"/>
      <c r="C7" s="13" t="n">
        <v>130</v>
      </c>
    </row>
    <row r="8">
      <c r="A8" s="14" t="inlineStr">
        <is>
          <t>▶ Medium Duty</t>
        </is>
      </c>
      <c r="B8" s="15" t="inlineStr"/>
      <c r="C8" s="16" t="n">
        <v>100</v>
      </c>
    </row>
    <row r="9">
      <c r="A9" s="12" t="inlineStr">
        <is>
          <t>▶ SUV</t>
        </is>
      </c>
      <c r="B9" s="11" t="inlineStr"/>
      <c r="C9" s="13" t="n">
        <v>90</v>
      </c>
    </row>
    <row r="10">
      <c r="A10" s="14" t="inlineStr">
        <is>
          <t>▶ Van</t>
        </is>
      </c>
      <c r="B10" s="15" t="inlineStr"/>
      <c r="C10" s="16" t="n">
        <v>65</v>
      </c>
    </row>
    <row r="11">
      <c r="A11" s="12" t="inlineStr">
        <is>
          <t>▶ Public Safety Sedan</t>
        </is>
      </c>
      <c r="B11" s="11" t="inlineStr"/>
      <c r="C11" s="13" t="n">
        <v>47</v>
      </c>
    </row>
    <row r="12">
      <c r="A12" s="14" t="inlineStr">
        <is>
          <t>▶ Public Safety SUV</t>
        </is>
      </c>
      <c r="B12" s="15" t="inlineStr"/>
      <c r="C12" s="16" t="n">
        <v>20</v>
      </c>
    </row>
    <row r="13">
      <c r="A13" s="9" t="inlineStr">
        <is>
          <t>▼ CUV</t>
        </is>
      </c>
      <c r="B13" s="10" t="inlineStr"/>
      <c r="C13" s="7" t="n">
        <v>15</v>
      </c>
    </row>
    <row r="14">
      <c r="A14" s="11" t="inlineStr"/>
      <c r="B14" s="2" t="inlineStr">
        <is>
          <t>Permitting Services</t>
        </is>
      </c>
      <c r="C14" s="3" t="n">
        <v>9</v>
      </c>
    </row>
    <row r="15">
      <c r="A15" s="11" t="inlineStr"/>
      <c r="B15" s="4" t="inlineStr">
        <is>
          <t>Transportation</t>
        </is>
      </c>
      <c r="C15" s="5" t="n">
        <v>5</v>
      </c>
    </row>
    <row r="16">
      <c r="A16" s="11" t="inlineStr"/>
      <c r="B16" s="2" t="inlineStr">
        <is>
          <t>Technology Services</t>
        </is>
      </c>
      <c r="C16" s="3" t="n">
        <v>1</v>
      </c>
    </row>
    <row r="17">
      <c r="A17" s="12" t="inlineStr">
        <is>
          <t>▶ Public Safety Van</t>
        </is>
      </c>
      <c r="B17" s="11" t="inlineStr"/>
      <c r="C17" s="13" t="n">
        <v>8</v>
      </c>
    </row>
    <row r="18">
      <c r="A18" s="14" t="inlineStr">
        <is>
          <t>▶ Public Safety CUV</t>
        </is>
      </c>
      <c r="B18" s="15" t="inlineStr"/>
      <c r="C18" s="16" t="n">
        <v>4</v>
      </c>
    </row>
    <row r="19">
      <c r="A19" s="12" t="inlineStr">
        <is>
          <t>▶ Public Safety Pick Up Trucks</t>
        </is>
      </c>
      <c r="B19" s="11" t="inlineStr"/>
      <c r="C19" s="13" t="n">
        <v>1</v>
      </c>
    </row>
    <row r="20">
      <c r="A20" s="9" t="inlineStr">
        <is>
          <t>Grand Total</t>
        </is>
      </c>
      <c r="B20" s="10" t="inlineStr"/>
      <c r="C20" s="7" t="n">
        <v>1582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2020-09-01T17:18:12Z</dcterms:created>
  <dcterms:modified xmlns:dcterms="http://purl.org/dc/terms/" xmlns:xsi="http://www.w3.org/2001/XMLSchema-instance" xsi:type="dcterms:W3CDTF">2026-03-09T09:57:49Z</dcterms:modified>
  <cp:lastModifiedBy>Stephen Ryan</cp:lastModifiedBy>
</cp:coreProperties>
</file>